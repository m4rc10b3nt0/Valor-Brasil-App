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64D4E4FE-CD32-43D6-BED8-DC94C67DDB1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Terras_Raras" sheetId="4" r:id="rId1"/>
    <sheet name="Siderurgia_Aco" sheetId="5" r:id="rId2"/>
    <sheet name="Complexo_Soja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6" l="1"/>
  <c r="G3" i="5"/>
  <c r="G3" i="4"/>
  <c r="J6" i="6"/>
  <c r="K18" i="6"/>
  <c r="L18" i="6" s="1"/>
  <c r="K17" i="6"/>
  <c r="L17" i="6" s="1"/>
  <c r="J7" i="6" s="1"/>
  <c r="J8" i="6" s="1"/>
  <c r="J9" i="6" s="1"/>
  <c r="K16" i="6"/>
  <c r="L16" i="6" s="1"/>
  <c r="L21" i="6"/>
  <c r="E5" i="6" s="1"/>
  <c r="K21" i="6"/>
  <c r="J21" i="6"/>
  <c r="I21" i="6"/>
  <c r="J6" i="5"/>
  <c r="K18" i="5"/>
  <c r="L18" i="5" s="1"/>
  <c r="K17" i="5"/>
  <c r="L17" i="5" s="1"/>
  <c r="K16" i="5"/>
  <c r="L16" i="5" s="1"/>
  <c r="I21" i="5"/>
  <c r="J6" i="4"/>
  <c r="I21" i="4" s="1"/>
  <c r="K18" i="4"/>
  <c r="K17" i="4"/>
  <c r="L17" i="4" s="1"/>
  <c r="K16" i="4"/>
  <c r="J7" i="5" l="1"/>
  <c r="L16" i="4"/>
  <c r="F25" i="4"/>
  <c r="F26" i="4" s="1"/>
  <c r="F24" i="4"/>
  <c r="L18" i="4"/>
  <c r="J7" i="4"/>
  <c r="F25" i="6"/>
  <c r="F26" i="6" s="1"/>
  <c r="F24" i="6"/>
  <c r="F25" i="5"/>
  <c r="F26" i="5" s="1"/>
  <c r="F24" i="5"/>
  <c r="J21" i="4"/>
  <c r="J8" i="4"/>
  <c r="J8" i="5" l="1"/>
  <c r="J21" i="5"/>
  <c r="K21" i="4"/>
  <c r="J9" i="4"/>
  <c r="L21" i="4" s="1"/>
  <c r="E5" i="4" s="1"/>
  <c r="J9" i="5" l="1"/>
  <c r="L21" i="5" s="1"/>
  <c r="E5" i="5" s="1"/>
  <c r="K21" i="5"/>
</calcChain>
</file>

<file path=xl/sharedStrings.xml><?xml version="1.0" encoding="utf-8"?>
<sst xmlns="http://schemas.openxmlformats.org/spreadsheetml/2006/main" count="108" uniqueCount="42">
  <si>
    <t>SIMULADOR DE VALOR AGREGADO - CADEIA DE TERRAS RARAS</t>
  </si>
  <si>
    <t>Cenário de Industrialização</t>
  </si>
  <si>
    <t>Agressivo</t>
  </si>
  <si>
    <t>Métrica do Modelo</t>
  </si>
  <si>
    <t>Valor Calculado</t>
  </si>
  <si>
    <t>Receita Atual</t>
  </si>
  <si>
    <t>Receita Simulada</t>
  </si>
  <si>
    <t>Receita Incremental Simulada</t>
  </si>
  <si>
    <t>Margem Capturada (%)</t>
  </si>
  <si>
    <t>Estágio da Cadeia</t>
  </si>
  <si>
    <t>Volume (t)</t>
  </si>
  <si>
    <t>Preço Ref. (US$/t)</t>
  </si>
  <si>
    <t>Fonte Institucional</t>
  </si>
  <si>
    <t>Concentrado Mineral Bruto</t>
  </si>
  <si>
    <t>USGS Mineral Comm. S.</t>
  </si>
  <si>
    <t>Óxidos Refinados</t>
  </si>
  <si>
    <t>MDIC Comex Stat / ANM</t>
  </si>
  <si>
    <t>Cenário</t>
  </si>
  <si>
    <t>% Processamento</t>
  </si>
  <si>
    <t>Preço Mix Ref.</t>
  </si>
  <si>
    <t>Receita</t>
  </si>
  <si>
    <t>Conservador</t>
  </si>
  <si>
    <t>TERRAS RARAS</t>
  </si>
  <si>
    <t>Moderado</t>
  </si>
  <si>
    <t>Receita Atual (Bruta)</t>
  </si>
  <si>
    <t>SIDERURGIA</t>
  </si>
  <si>
    <t>Métrica Agregada</t>
  </si>
  <si>
    <t>Resultado</t>
  </si>
  <si>
    <t>Receita Média nos 3 Cenários</t>
  </si>
  <si>
    <t>SOJA</t>
  </si>
  <si>
    <t>Receita Máxima Possível</t>
  </si>
  <si>
    <t>Potencial Máximo de Captura</t>
  </si>
  <si>
    <t>SIMULADOR DE VALOR AGREGADO - SIDERURGIA E AÇO</t>
  </si>
  <si>
    <t>Minério de Ferro Bruto</t>
  </si>
  <si>
    <t>MDIC Comex Stat</t>
  </si>
  <si>
    <t>Aço Processado</t>
  </si>
  <si>
    <t>World St. Ass. / Aço Brasil</t>
  </si>
  <si>
    <t>SIMULADOR DE VALOR AGREGADO - COMPLEXO SOJA</t>
  </si>
  <si>
    <t>Soja em Grão (In Natura)</t>
  </si>
  <si>
    <t>CONAB / MDIC Comex S.</t>
  </si>
  <si>
    <t>Esmagamento (Óleo + Farelo Mix)</t>
  </si>
  <si>
    <t>ABIOVE / USDA 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</si>
</sst>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\+0.0%;\-0.0%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11"/>
      <color theme="0" tint="-0.249977111117893"/>
      <name val="Calibri"/>
      <scheme val="minor"/>
    </font>
    <font>
      <sz val="11"/>
      <color theme="0" tint="-0.249977111117893"/>
      <name val="Calibri"/>
      <family val="2"/>
      <scheme val="minor"/>
    </font>
    <font>
      <sz val="20"/>
      <color theme="1"/>
      <name val="Segoe UI Semibold"/>
    </font>
    <font>
      <b/>
      <sz val="11"/>
      <color theme="1"/>
      <name val="Segoe UI"/>
    </font>
    <font>
      <sz val="11"/>
      <color theme="1"/>
      <name val="Segoe UI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44546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3F4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medium">
        <color theme="0"/>
      </bottom>
      <diagonal/>
    </border>
    <border>
      <left/>
      <right/>
      <top/>
      <bottom style="medium">
        <color theme="7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8" borderId="0" xfId="0" applyFill="1"/>
    <xf numFmtId="0" fontId="6" fillId="7" borderId="8" xfId="0" applyFont="1" applyFill="1" applyBorder="1"/>
    <xf numFmtId="0" fontId="6" fillId="7" borderId="14" xfId="0" applyFont="1" applyFill="1" applyBorder="1"/>
    <xf numFmtId="0" fontId="6" fillId="7" borderId="9" xfId="0" applyFont="1" applyFill="1" applyBorder="1"/>
    <xf numFmtId="0" fontId="7" fillId="7" borderId="10" xfId="0" applyFont="1" applyFill="1" applyBorder="1"/>
    <xf numFmtId="3" fontId="7" fillId="6" borderId="0" xfId="0" applyNumberFormat="1" applyFont="1" applyFill="1"/>
    <xf numFmtId="164" fontId="7" fillId="6" borderId="0" xfId="0" applyNumberFormat="1" applyFont="1" applyFill="1"/>
    <xf numFmtId="0" fontId="7" fillId="6" borderId="11" xfId="0" applyFont="1" applyFill="1" applyBorder="1"/>
    <xf numFmtId="0" fontId="7" fillId="7" borderId="12" xfId="0" applyFont="1" applyFill="1" applyBorder="1"/>
    <xf numFmtId="3" fontId="7" fillId="6" borderId="15" xfId="0" applyNumberFormat="1" applyFont="1" applyFill="1" applyBorder="1"/>
    <xf numFmtId="164" fontId="7" fillId="6" borderId="15" xfId="0" applyNumberFormat="1" applyFont="1" applyFill="1" applyBorder="1"/>
    <xf numFmtId="0" fontId="7" fillId="6" borderId="13" xfId="0" applyFont="1" applyFill="1" applyBorder="1"/>
    <xf numFmtId="9" fontId="7" fillId="6" borderId="0" xfId="0" applyNumberFormat="1" applyFont="1" applyFill="1"/>
    <xf numFmtId="164" fontId="7" fillId="6" borderId="11" xfId="0" applyNumberFormat="1" applyFont="1" applyFill="1" applyBorder="1"/>
    <xf numFmtId="9" fontId="7" fillId="6" borderId="15" xfId="0" applyNumberFormat="1" applyFont="1" applyFill="1" applyBorder="1"/>
    <xf numFmtId="164" fontId="7" fillId="6" borderId="13" xfId="0" applyNumberFormat="1" applyFont="1" applyFill="1" applyBorder="1"/>
    <xf numFmtId="164" fontId="7" fillId="6" borderId="12" xfId="0" applyNumberFormat="1" applyFont="1" applyFill="1" applyBorder="1"/>
    <xf numFmtId="164" fontId="7" fillId="0" borderId="15" xfId="0" applyNumberFormat="1" applyFont="1" applyBorder="1" applyAlignment="1">
      <alignment horizontal="right"/>
    </xf>
    <xf numFmtId="165" fontId="7" fillId="0" borderId="13" xfId="0" applyNumberFormat="1" applyFont="1" applyBorder="1" applyAlignment="1">
      <alignment horizontal="right"/>
    </xf>
    <xf numFmtId="9" fontId="7" fillId="6" borderId="13" xfId="0" applyNumberFormat="1" applyFont="1" applyFill="1" applyBorder="1"/>
    <xf numFmtId="0" fontId="6" fillId="0" borderId="8" xfId="0" applyFont="1" applyBorder="1"/>
    <xf numFmtId="0" fontId="6" fillId="0" borderId="9" xfId="0" applyFont="1" applyBorder="1"/>
    <xf numFmtId="0" fontId="7" fillId="6" borderId="10" xfId="0" applyFont="1" applyFill="1" applyBorder="1"/>
    <xf numFmtId="0" fontId="7" fillId="5" borderId="10" xfId="0" applyFont="1" applyFill="1" applyBorder="1"/>
    <xf numFmtId="164" fontId="7" fillId="5" borderId="11" xfId="0" applyNumberFormat="1" applyFont="1" applyFill="1" applyBorder="1"/>
    <xf numFmtId="0" fontId="7" fillId="0" borderId="10" xfId="0" applyFont="1" applyBorder="1"/>
    <xf numFmtId="164" fontId="7" fillId="0" borderId="11" xfId="0" applyNumberFormat="1" applyFont="1" applyBorder="1"/>
    <xf numFmtId="0" fontId="7" fillId="0" borderId="12" xfId="0" applyFont="1" applyBorder="1"/>
    <xf numFmtId="0" fontId="6" fillId="0" borderId="16" xfId="0" applyFont="1" applyBorder="1"/>
    <xf numFmtId="0" fontId="7" fillId="4" borderId="17" xfId="0" applyFont="1" applyFill="1" applyBorder="1"/>
    <xf numFmtId="9" fontId="7" fillId="0" borderId="18" xfId="0" applyNumberFormat="1" applyFont="1" applyBorder="1"/>
    <xf numFmtId="0" fontId="7" fillId="0" borderId="0" xfId="0" applyFont="1"/>
    <xf numFmtId="165" fontId="7" fillId="0" borderId="0" xfId="0" applyNumberFormat="1" applyFont="1"/>
    <xf numFmtId="165" fontId="6" fillId="5" borderId="13" xfId="0" applyNumberFormat="1" applyFont="1" applyFill="1" applyBorder="1"/>
    <xf numFmtId="165" fontId="6" fillId="5" borderId="13" xfId="0" applyNumberFormat="1" applyFont="1" applyFill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FAFA"/>
      <color rgb="FFF7F7F7"/>
      <color rgb="FF333F4F"/>
      <color rgb="FF4454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Terras_Raras!E5</c:f>
          <c:strCache>
            <c:ptCount val="1"/>
            <c:pt idx="0">
              <c:v>Margem Capturada (Agressivo): +350,0%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 ATUAL</c:v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AA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4B-49BB-9F7B-E72E2C06D8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Terras_Raras!J6</c:f>
              <c:numCache>
                <c:formatCode>[$$-409]#,##0.00</c:formatCode>
                <c:ptCount val="1"/>
                <c:pt idx="0">
                  <c:v>35000000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61-49A2-BB20-A1891BB36B62}"/>
            </c:ext>
          </c:extLst>
        </c:ser>
        <c:ser>
          <c:idx val="1"/>
          <c:order val="1"/>
          <c:tx>
            <c:v>Receita SIMULADA</c:v>
          </c:tx>
          <c:spPr>
            <a:solidFill>
              <a:srgbClr val="FFC000"/>
            </a:solidFill>
            <a:ln w="12700" cap="flat" cmpd="sng" algn="ctr">
              <a:solidFill>
                <a:srgbClr val="0070B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4B-49BB-9F7B-E72E2C06D8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Terras_Raras!J7</c:f>
              <c:numCache>
                <c:formatCode>[$$-409]#,##0.00</c:formatCode>
                <c:ptCount val="1"/>
                <c:pt idx="0">
                  <c:v>157500000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61-49A2-BB20-A1891BB36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584199"/>
        <c:axId val="1448586247"/>
      </c:barChart>
      <c:catAx>
        <c:axId val="1448584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8586247"/>
        <c:crosses val="autoZero"/>
        <c:auto val="1"/>
        <c:lblAlgn val="ctr"/>
        <c:lblOffset val="100"/>
        <c:noMultiLvlLbl val="0"/>
      </c:catAx>
      <c:valAx>
        <c:axId val="1448586247"/>
        <c:scaling>
          <c:orientation val="minMax"/>
        </c:scaling>
        <c:delete val="1"/>
        <c:axPos val="l"/>
        <c:numFmt formatCode="[$$-409]#,##0.00" sourceLinked="1"/>
        <c:majorTickMark val="none"/>
        <c:minorTickMark val="none"/>
        <c:tickLblPos val="nextTo"/>
        <c:crossAx val="144858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Siderurgia_Aco!E5</c:f>
          <c:strCache>
            <c:ptCount val="1"/>
            <c:pt idx="0">
              <c:v>Margem Capturada (Moderado): +145,5%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{"Receita ATUAL"}</c:f>
              <c:strCache>
                <c:ptCount val="1"/>
                <c:pt idx="0">
                  <c:v>Receita ATUAL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Siderurgia_Aco!J6</c:f>
              <c:numCache>
                <c:formatCode>[$$-409]#,##0.00</c:formatCode>
                <c:ptCount val="1"/>
                <c:pt idx="0">
                  <c:v>110000000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FF-418E-8B89-268DEC4DA280}"/>
            </c:ext>
          </c:extLst>
        </c:ser>
        <c:ser>
          <c:idx val="0"/>
          <c:order val="1"/>
          <c:tx>
            <c:strRef>
              <c:f>{"Receita SIMULADA"}</c:f>
              <c:strCache>
                <c:ptCount val="1"/>
                <c:pt idx="0">
                  <c:v>Receita SIMULADA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Siderurgia_Aco!J7</c:f>
              <c:numCache>
                <c:formatCode>[$$-409]#,##0.00</c:formatCode>
                <c:ptCount val="1"/>
                <c:pt idx="0">
                  <c:v>270000000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FF-418E-8B89-268DEC4D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955847"/>
        <c:axId val="1204566023"/>
      </c:barChart>
      <c:catAx>
        <c:axId val="11139558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204566023"/>
        <c:crosses val="autoZero"/>
        <c:auto val="1"/>
        <c:lblAlgn val="ctr"/>
        <c:lblOffset val="100"/>
        <c:noMultiLvlLbl val="0"/>
      </c:catAx>
      <c:valAx>
        <c:axId val="1204566023"/>
        <c:scaling>
          <c:orientation val="minMax"/>
        </c:scaling>
        <c:delete val="1"/>
        <c:axPos val="l"/>
        <c:numFmt formatCode="[$$-409]#,##0.00" sourceLinked="1"/>
        <c:majorTickMark val="none"/>
        <c:minorTickMark val="none"/>
        <c:tickLblPos val="nextTo"/>
        <c:crossAx val="111395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Complexo_Soja!E5</c:f>
          <c:strCache>
            <c:ptCount val="1"/>
            <c:pt idx="0">
              <c:v>Margem Capturada (Agressivo): +42,9%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{"Receita ATUAL"}</c:f>
              <c:strCache>
                <c:ptCount val="1"/>
                <c:pt idx="0">
                  <c:v>Receita ATUAL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Complexo_Soja!J6</c:f>
              <c:numCache>
                <c:formatCode>[$$-409]#,##0.00</c:formatCode>
                <c:ptCount val="1"/>
                <c:pt idx="0">
                  <c:v>210000000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50-4402-A05C-E3D26DA9B312}"/>
            </c:ext>
          </c:extLst>
        </c:ser>
        <c:ser>
          <c:idx val="0"/>
          <c:order val="1"/>
          <c:tx>
            <c:strRef>
              <c:f>{"Receita SIMULADA"}</c:f>
              <c:strCache>
                <c:ptCount val="1"/>
                <c:pt idx="0">
                  <c:v>Receita SIMULADA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Complexo_Soja!J7</c:f>
              <c:numCache>
                <c:formatCode>[$$-409]#,##0.00</c:formatCode>
                <c:ptCount val="1"/>
                <c:pt idx="0">
                  <c:v>300000000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50-4402-A05C-E3D26DA9B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858183"/>
        <c:axId val="2015882759"/>
      </c:barChart>
      <c:catAx>
        <c:axId val="2015858183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5882759"/>
        <c:crosses val="autoZero"/>
        <c:auto val="1"/>
        <c:lblAlgn val="ctr"/>
        <c:lblOffset val="100"/>
        <c:noMultiLvlLbl val="0"/>
      </c:catAx>
      <c:valAx>
        <c:axId val="2015882759"/>
        <c:scaling>
          <c:orientation val="minMax"/>
        </c:scaling>
        <c:delete val="1"/>
        <c:axPos val="l"/>
        <c:numFmt formatCode="[$$-409]#,##0.00" sourceLinked="1"/>
        <c:majorTickMark val="none"/>
        <c:minorTickMark val="none"/>
        <c:tickLblPos val="nextTo"/>
        <c:crossAx val="2015858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9525</xdr:rowOff>
    </xdr:from>
    <xdr:to>
      <xdr:col>6</xdr:col>
      <xdr:colOff>1809750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A98B85-4E02-7179-95BE-22DE24613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1571625</xdr:colOff>
      <xdr:row>7</xdr:row>
      <xdr:rowOff>38100</xdr:rowOff>
    </xdr:from>
    <xdr:to>
      <xdr:col>2</xdr:col>
      <xdr:colOff>104775</xdr:colOff>
      <xdr:row>12</xdr:row>
      <xdr:rowOff>0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E8E39F9E-9387-4609-9190-DEED65D11017}"/>
            </a:ext>
            <a:ext uri="{147F2762-F138-4A5C-976F-8EAC2B608ADB}">
              <a16:predDERef xmlns:a16="http://schemas.microsoft.com/office/drawing/2014/main" pred="{40A98B85-4E02-7179-95BE-22DE246139F6}"/>
            </a:ext>
          </a:extLst>
        </xdr:cNvPr>
        <xdr:cNvSpPr txBox="1"/>
      </xdr:nvSpPr>
      <xdr:spPr>
        <a:xfrm>
          <a:off x="238125" y="1371600"/>
          <a:ext cx="1724025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VALOR BRASIL APP</a:t>
          </a:r>
        </a:p>
      </xdr:txBody>
    </xdr:sp>
    <xdr:clientData/>
  </xdr:twoCellAnchor>
  <xdr:twoCellAnchor>
    <xdr:from>
      <xdr:col>1</xdr:col>
      <xdr:colOff>0</xdr:colOff>
      <xdr:row>11</xdr:row>
      <xdr:rowOff>76200</xdr:rowOff>
    </xdr:from>
    <xdr:to>
      <xdr:col>2</xdr:col>
      <xdr:colOff>219075</xdr:colOff>
      <xdr:row>16</xdr:row>
      <xdr:rowOff>28575</xdr:rowOff>
    </xdr:to>
    <xdr:sp macro="" textlink="">
      <xdr:nvSpPr>
        <xdr:cNvPr id="8" name="TextBox 3">
          <a:extLst>
            <a:ext uri="{FF2B5EF4-FFF2-40B4-BE49-F238E27FC236}">
              <a16:creationId xmlns:a16="http://schemas.microsoft.com/office/drawing/2014/main" id="{513FA91D-E85C-4D6A-A340-C138CC1F947C}"/>
            </a:ext>
            <a:ext uri="{147F2762-F138-4A5C-976F-8EAC2B608ADB}">
              <a16:predDERef xmlns:a16="http://schemas.microsoft.com/office/drawing/2014/main" pred="{7A720F79-F6C8-42FE-9D62-C65C9470FAEA}"/>
            </a:ext>
          </a:extLst>
        </xdr:cNvPr>
        <xdr:cNvSpPr txBox="1"/>
      </xdr:nvSpPr>
      <xdr:spPr>
        <a:xfrm>
          <a:off x="238125" y="2171700"/>
          <a:ext cx="18383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Simulador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de Adensamento Produtivo 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e Valor Agregado</a:t>
          </a:r>
        </a:p>
      </xdr:txBody>
    </xdr:sp>
    <xdr:clientData/>
  </xdr:twoCellAnchor>
  <xdr:twoCellAnchor editAs="oneCell">
    <xdr:from>
      <xdr:col>1</xdr:col>
      <xdr:colOff>142875</xdr:colOff>
      <xdr:row>0</xdr:row>
      <xdr:rowOff>133350</xdr:rowOff>
    </xdr:from>
    <xdr:to>
      <xdr:col>2</xdr:col>
      <xdr:colOff>38100</xdr:colOff>
      <xdr:row>7</xdr:row>
      <xdr:rowOff>38100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B9E6479-9DAC-B53E-55DA-450346E9316A}"/>
            </a:ext>
            <a:ext uri="{147F2762-F138-4A5C-976F-8EAC2B608ADB}">
              <a16:predDERef xmlns:a16="http://schemas.microsoft.com/office/drawing/2014/main" pred="{513FA91D-E85C-4D6A-A340-C138CC1F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133350"/>
          <a:ext cx="1514475" cy="1514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9525</xdr:rowOff>
    </xdr:from>
    <xdr:to>
      <xdr:col>6</xdr:col>
      <xdr:colOff>1809750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32D7AD-C8F7-2C44-D0B5-19C46FF9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1571625</xdr:colOff>
      <xdr:row>7</xdr:row>
      <xdr:rowOff>38100</xdr:rowOff>
    </xdr:from>
    <xdr:to>
      <xdr:col>2</xdr:col>
      <xdr:colOff>104775</xdr:colOff>
      <xdr:row>12</xdr:row>
      <xdr:rowOff>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32F4D8FF-235F-40DF-9B68-43B4878992F0}"/>
            </a:ext>
            <a:ext uri="{147F2762-F138-4A5C-976F-8EAC2B608ADB}">
              <a16:predDERef xmlns:a16="http://schemas.microsoft.com/office/drawing/2014/main" pred="{F132D7AD-C8F7-2C44-D0B5-19C46FF90DB4}"/>
            </a:ext>
          </a:extLst>
        </xdr:cNvPr>
        <xdr:cNvSpPr txBox="1"/>
      </xdr:nvSpPr>
      <xdr:spPr>
        <a:xfrm>
          <a:off x="238125" y="1514475"/>
          <a:ext cx="1724025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VALOR BRASIL APP</a:t>
          </a:r>
        </a:p>
      </xdr:txBody>
    </xdr:sp>
    <xdr:clientData/>
  </xdr:twoCellAnchor>
  <xdr:twoCellAnchor>
    <xdr:from>
      <xdr:col>1</xdr:col>
      <xdr:colOff>0</xdr:colOff>
      <xdr:row>11</xdr:row>
      <xdr:rowOff>76200</xdr:rowOff>
    </xdr:from>
    <xdr:to>
      <xdr:col>2</xdr:col>
      <xdr:colOff>219075</xdr:colOff>
      <xdr:row>16</xdr:row>
      <xdr:rowOff>28575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5E57C8D7-CB10-4E5A-A5E3-A83B8504511C}"/>
            </a:ext>
            <a:ext uri="{147F2762-F138-4A5C-976F-8EAC2B608ADB}">
              <a16:predDERef xmlns:a16="http://schemas.microsoft.com/office/drawing/2014/main" pred="{32F4D8FF-235F-40DF-9B68-43B4878992F0}"/>
            </a:ext>
          </a:extLst>
        </xdr:cNvPr>
        <xdr:cNvSpPr txBox="1"/>
      </xdr:nvSpPr>
      <xdr:spPr>
        <a:xfrm>
          <a:off x="238125" y="2314575"/>
          <a:ext cx="18383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Simulador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de Adensamento Produtivo 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e Valor Agregado</a:t>
          </a:r>
        </a:p>
      </xdr:txBody>
    </xdr:sp>
    <xdr:clientData/>
  </xdr:twoCellAnchor>
  <xdr:twoCellAnchor>
    <xdr:from>
      <xdr:col>0</xdr:col>
      <xdr:colOff>1571625</xdr:colOff>
      <xdr:row>7</xdr:row>
      <xdr:rowOff>38100</xdr:rowOff>
    </xdr:from>
    <xdr:to>
      <xdr:col>2</xdr:col>
      <xdr:colOff>104775</xdr:colOff>
      <xdr:row>12</xdr:row>
      <xdr:rowOff>0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5B28C883-A80D-44DC-8FD2-9637CACFA1AC}"/>
            </a:ext>
            <a:ext uri="{147F2762-F138-4A5C-976F-8EAC2B608ADB}">
              <a16:predDERef xmlns:a16="http://schemas.microsoft.com/office/drawing/2014/main" pred="{D6A0A207-886B-4D50-8686-22140D64D748}"/>
            </a:ext>
          </a:extLst>
        </xdr:cNvPr>
        <xdr:cNvSpPr txBox="1"/>
      </xdr:nvSpPr>
      <xdr:spPr>
        <a:xfrm>
          <a:off x="238125" y="1514475"/>
          <a:ext cx="1724025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VALOR BRASIL APP</a:t>
          </a:r>
        </a:p>
      </xdr:txBody>
    </xdr:sp>
    <xdr:clientData/>
  </xdr:twoCellAnchor>
  <xdr:twoCellAnchor>
    <xdr:from>
      <xdr:col>1</xdr:col>
      <xdr:colOff>0</xdr:colOff>
      <xdr:row>11</xdr:row>
      <xdr:rowOff>76200</xdr:rowOff>
    </xdr:from>
    <xdr:to>
      <xdr:col>2</xdr:col>
      <xdr:colOff>219075</xdr:colOff>
      <xdr:row>16</xdr:row>
      <xdr:rowOff>28575</xdr:rowOff>
    </xdr:to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8338C638-FCC0-4EA8-BDFC-4ABD87E99087}"/>
            </a:ext>
            <a:ext uri="{147F2762-F138-4A5C-976F-8EAC2B608ADB}">
              <a16:predDERef xmlns:a16="http://schemas.microsoft.com/office/drawing/2014/main" pred="{5B28C883-A80D-44DC-8FD2-9637CACFA1AC}"/>
            </a:ext>
          </a:extLst>
        </xdr:cNvPr>
        <xdr:cNvSpPr txBox="1"/>
      </xdr:nvSpPr>
      <xdr:spPr>
        <a:xfrm>
          <a:off x="238125" y="2314575"/>
          <a:ext cx="18383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Simulador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de Adensamento Produtivo 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e Valor Agregado</a:t>
          </a:r>
        </a:p>
      </xdr:txBody>
    </xdr:sp>
    <xdr:clientData/>
  </xdr:twoCellAnchor>
  <xdr:twoCellAnchor editAs="oneCell">
    <xdr:from>
      <xdr:col>1</xdr:col>
      <xdr:colOff>219075</xdr:colOff>
      <xdr:row>0</xdr:row>
      <xdr:rowOff>228600</xdr:rowOff>
    </xdr:from>
    <xdr:to>
      <xdr:col>1</xdr:col>
      <xdr:colOff>1533525</xdr:colOff>
      <xdr:row>6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813E9F-6F7B-6F85-F703-E2CEFF4B90EA}"/>
            </a:ext>
            <a:ext uri="{147F2762-F138-4A5C-976F-8EAC2B608ADB}">
              <a16:predDERef xmlns:a16="http://schemas.microsoft.com/office/drawing/2014/main" pred="{8338C638-FCC0-4EA8-BDFC-4ABD87E9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228600"/>
          <a:ext cx="13144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9525</xdr:rowOff>
    </xdr:from>
    <xdr:to>
      <xdr:col>6</xdr:col>
      <xdr:colOff>1809750</xdr:colOff>
      <xdr:row>21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3AEA02-9E68-706F-1D86-8C4B74FDE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1571625</xdr:colOff>
      <xdr:row>7</xdr:row>
      <xdr:rowOff>38100</xdr:rowOff>
    </xdr:from>
    <xdr:to>
      <xdr:col>2</xdr:col>
      <xdr:colOff>104775</xdr:colOff>
      <xdr:row>12</xdr:row>
      <xdr:rowOff>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C6D9A609-AF52-4CEF-A7FC-3CC034C72878}"/>
            </a:ext>
            <a:ext uri="{147F2762-F138-4A5C-976F-8EAC2B608ADB}">
              <a16:predDERef xmlns:a16="http://schemas.microsoft.com/office/drawing/2014/main" pred="{C33AEA02-9E68-706F-1D86-8C4B74FDE7D5}"/>
            </a:ext>
          </a:extLst>
        </xdr:cNvPr>
        <xdr:cNvSpPr txBox="1"/>
      </xdr:nvSpPr>
      <xdr:spPr>
        <a:xfrm>
          <a:off x="238125" y="1514475"/>
          <a:ext cx="1724025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VALOR BRASIL APP</a:t>
          </a:r>
        </a:p>
      </xdr:txBody>
    </xdr:sp>
    <xdr:clientData/>
  </xdr:twoCellAnchor>
  <xdr:twoCellAnchor>
    <xdr:from>
      <xdr:col>1</xdr:col>
      <xdr:colOff>0</xdr:colOff>
      <xdr:row>11</xdr:row>
      <xdr:rowOff>76200</xdr:rowOff>
    </xdr:from>
    <xdr:to>
      <xdr:col>2</xdr:col>
      <xdr:colOff>219075</xdr:colOff>
      <xdr:row>16</xdr:row>
      <xdr:rowOff>28575</xdr:rowOff>
    </xdr:to>
    <xdr:sp macro="" textlink="">
      <xdr:nvSpPr>
        <xdr:cNvPr id="9" name="TextBox 3">
          <a:extLst>
            <a:ext uri="{FF2B5EF4-FFF2-40B4-BE49-F238E27FC236}">
              <a16:creationId xmlns:a16="http://schemas.microsoft.com/office/drawing/2014/main" id="{82F1A3DA-0152-4EC9-80A1-0C9B04AF2512}"/>
            </a:ext>
            <a:ext uri="{147F2762-F138-4A5C-976F-8EAC2B608ADB}">
              <a16:predDERef xmlns:a16="http://schemas.microsoft.com/office/drawing/2014/main" pred="{C6D9A609-AF52-4CEF-A7FC-3CC034C72878}"/>
            </a:ext>
          </a:extLst>
        </xdr:cNvPr>
        <xdr:cNvSpPr txBox="1"/>
      </xdr:nvSpPr>
      <xdr:spPr>
        <a:xfrm>
          <a:off x="238125" y="2314575"/>
          <a:ext cx="18383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Simulador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de Adensamento Produtivo 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e Valor Agregado</a:t>
          </a:r>
        </a:p>
      </xdr:txBody>
    </xdr:sp>
    <xdr:clientData/>
  </xdr:twoCellAnchor>
  <xdr:twoCellAnchor>
    <xdr:from>
      <xdr:col>0</xdr:col>
      <xdr:colOff>1571625</xdr:colOff>
      <xdr:row>7</xdr:row>
      <xdr:rowOff>38100</xdr:rowOff>
    </xdr:from>
    <xdr:to>
      <xdr:col>2</xdr:col>
      <xdr:colOff>104775</xdr:colOff>
      <xdr:row>12</xdr:row>
      <xdr:rowOff>0</xdr:rowOff>
    </xdr:to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4525C351-3B2D-4EEF-BD36-6FF1C3CAACFF}"/>
            </a:ext>
            <a:ext uri="{147F2762-F138-4A5C-976F-8EAC2B608ADB}">
              <a16:predDERef xmlns:a16="http://schemas.microsoft.com/office/drawing/2014/main" pred="{DBA8B651-81EA-4BEB-B360-18EF3438EF38}"/>
            </a:ext>
          </a:extLst>
        </xdr:cNvPr>
        <xdr:cNvSpPr txBox="1"/>
      </xdr:nvSpPr>
      <xdr:spPr>
        <a:xfrm>
          <a:off x="238125" y="1514475"/>
          <a:ext cx="1724025" cy="9144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i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VALOR BRASIL APP</a:t>
          </a:r>
        </a:p>
      </xdr:txBody>
    </xdr:sp>
    <xdr:clientData/>
  </xdr:twoCellAnchor>
  <xdr:twoCellAnchor>
    <xdr:from>
      <xdr:col>1</xdr:col>
      <xdr:colOff>0</xdr:colOff>
      <xdr:row>11</xdr:row>
      <xdr:rowOff>76200</xdr:rowOff>
    </xdr:from>
    <xdr:to>
      <xdr:col>2</xdr:col>
      <xdr:colOff>219075</xdr:colOff>
      <xdr:row>16</xdr:row>
      <xdr:rowOff>28575</xdr:rowOff>
    </xdr:to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FF501ACB-B9B5-4883-BC12-BA695211AE93}"/>
            </a:ext>
            <a:ext uri="{147F2762-F138-4A5C-976F-8EAC2B608ADB}">
              <a16:predDERef xmlns:a16="http://schemas.microsoft.com/office/drawing/2014/main" pred="{4525C351-3B2D-4EEF-BD36-6FF1C3CAACFF}"/>
            </a:ext>
          </a:extLst>
        </xdr:cNvPr>
        <xdr:cNvSpPr txBox="1"/>
      </xdr:nvSpPr>
      <xdr:spPr>
        <a:xfrm>
          <a:off x="238125" y="2314575"/>
          <a:ext cx="1838325" cy="9048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Simulador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de Adensamento Produtivo </a:t>
          </a:r>
        </a:p>
        <a:p>
          <a:pPr marL="0" indent="0" algn="l"/>
          <a:r>
            <a:rPr lang="en-US" sz="900" b="0" i="1">
              <a:solidFill>
                <a:schemeClr val="bg1"/>
              </a:solidFill>
              <a:latin typeface="+mn-lt"/>
              <a:ea typeface="+mn-lt"/>
              <a:cs typeface="+mn-lt"/>
            </a:rPr>
            <a:t>e Valor Agregado</a:t>
          </a:r>
        </a:p>
      </xdr:txBody>
    </xdr:sp>
    <xdr:clientData/>
  </xdr:twoCellAnchor>
  <xdr:twoCellAnchor editAs="oneCell">
    <xdr:from>
      <xdr:col>1</xdr:col>
      <xdr:colOff>85725</xdr:colOff>
      <xdr:row>0</xdr:row>
      <xdr:rowOff>219075</xdr:rowOff>
    </xdr:from>
    <xdr:to>
      <xdr:col>1</xdr:col>
      <xdr:colOff>1552575</xdr:colOff>
      <xdr:row>7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4A2CBE-5606-D12A-EBCF-232F73BD4FBB}"/>
            </a:ext>
            <a:ext uri="{147F2762-F138-4A5C-976F-8EAC2B608ADB}">
              <a16:predDERef xmlns:a16="http://schemas.microsoft.com/office/drawing/2014/main" pred="{FF501ACB-B9B5-4883-BC12-BA695211A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219075"/>
          <a:ext cx="1466850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5AAE-E8F0-4105-A07C-9C20E4FE032A}">
  <dimension ref="A1:L28"/>
  <sheetViews>
    <sheetView showGridLines="0" showRowColHeaders="0" workbookViewId="0">
      <selection activeCell="P8" sqref="P8"/>
    </sheetView>
  </sheetViews>
  <sheetFormatPr defaultRowHeight="15"/>
  <cols>
    <col min="1" max="1" width="3.5703125" customWidth="1"/>
    <col min="2" max="2" width="24.28515625" customWidth="1"/>
    <col min="3" max="3" width="4.140625" customWidth="1"/>
    <col min="4" max="4" width="2.5703125" customWidth="1"/>
    <col min="5" max="5" width="28" customWidth="1"/>
    <col min="6" max="6" width="17.28515625" customWidth="1"/>
    <col min="7" max="7" width="29.28515625" customWidth="1"/>
    <col min="8" max="8" width="2.28515625" customWidth="1"/>
    <col min="9" max="9" width="32.42578125" customWidth="1"/>
    <col min="10" max="10" width="17.7109375" customWidth="1"/>
    <col min="11" max="11" width="19.7109375" customWidth="1"/>
    <col min="12" max="12" width="25.140625" customWidth="1"/>
    <col min="13" max="13" width="9.140625" customWidth="1"/>
  </cols>
  <sheetData>
    <row r="1" spans="1:12" ht="30.75">
      <c r="A1" s="1"/>
      <c r="B1" s="1"/>
      <c r="C1" s="1"/>
      <c r="E1" s="37" t="s">
        <v>0</v>
      </c>
      <c r="F1" s="37"/>
      <c r="G1" s="37"/>
      <c r="H1" s="37"/>
      <c r="I1" s="37"/>
      <c r="J1" s="37"/>
      <c r="K1" s="37"/>
      <c r="L1" s="37"/>
    </row>
    <row r="2" spans="1:12">
      <c r="A2" s="1"/>
      <c r="B2" s="1"/>
      <c r="C2" s="1"/>
    </row>
    <row r="3" spans="1:12" ht="16.5">
      <c r="A3" s="1"/>
      <c r="B3" s="1"/>
      <c r="C3" s="1"/>
      <c r="E3" s="30" t="s">
        <v>1</v>
      </c>
      <c r="F3" s="31" t="s">
        <v>2</v>
      </c>
      <c r="G3" s="32" t="str">
        <f>"Taxa de Processamento a " &amp; TEXT(IF(F3="Conservador", 0.1, IF(F3="Moderado", 0.25, IF(F3="Agressivo", 0.5, 0))), "0%")</f>
        <v>Taxa de Processamento a 50%</v>
      </c>
    </row>
    <row r="4" spans="1:12">
      <c r="A4" s="1"/>
      <c r="B4" s="2"/>
      <c r="C4" s="1"/>
    </row>
    <row r="5" spans="1:12" ht="16.5">
      <c r="A5" s="1"/>
      <c r="B5" s="1"/>
      <c r="C5" s="1"/>
      <c r="E5" t="str">
        <f>"Margem Capturada (" &amp; F3 &amp; "): " &amp; TEXT(L21, "+0,0%")</f>
        <v>Margem Capturada (Agressivo): +350,0%</v>
      </c>
      <c r="I5" s="22" t="s">
        <v>3</v>
      </c>
      <c r="J5" s="23" t="s">
        <v>4</v>
      </c>
      <c r="K5" s="33"/>
      <c r="L5" s="33"/>
    </row>
    <row r="6" spans="1:12" ht="16.5">
      <c r="A6" s="1"/>
      <c r="B6" s="1"/>
      <c r="C6" s="1"/>
      <c r="I6" s="24" t="s">
        <v>5</v>
      </c>
      <c r="J6" s="15">
        <f>J12 * K12</f>
        <v>35000000</v>
      </c>
      <c r="K6" s="33"/>
      <c r="L6" s="33"/>
    </row>
    <row r="7" spans="1:12" ht="16.5">
      <c r="A7" s="1"/>
      <c r="B7" s="1"/>
      <c r="C7" s="1"/>
      <c r="I7" s="25" t="s">
        <v>6</v>
      </c>
      <c r="J7" s="26">
        <f>VLOOKUP(F3, I16:K18, MATCH("Preço Mix Ref.", I15:K15, 0), FALSE) * J12</f>
        <v>157500000</v>
      </c>
      <c r="K7" s="33"/>
      <c r="L7" s="33"/>
    </row>
    <row r="8" spans="1:12" ht="16.5">
      <c r="A8" s="1"/>
      <c r="B8" s="1"/>
      <c r="C8" s="1"/>
      <c r="I8" s="27" t="s">
        <v>7</v>
      </c>
      <c r="J8" s="28">
        <f>J7-J6</f>
        <v>122500000</v>
      </c>
      <c r="K8" s="33"/>
      <c r="L8" s="33"/>
    </row>
    <row r="9" spans="1:12" ht="16.5">
      <c r="A9" s="1"/>
      <c r="B9" s="1"/>
      <c r="C9" s="1"/>
      <c r="I9" s="29" t="s">
        <v>8</v>
      </c>
      <c r="J9" s="20">
        <f>J8/J6</f>
        <v>3.5</v>
      </c>
      <c r="K9" s="33"/>
      <c r="L9" s="33"/>
    </row>
    <row r="10" spans="1:12" ht="15" customHeight="1">
      <c r="A10" s="1"/>
      <c r="B10" s="1"/>
      <c r="C10" s="1"/>
      <c r="I10" s="33"/>
      <c r="J10" s="33"/>
      <c r="K10" s="33"/>
      <c r="L10" s="33"/>
    </row>
    <row r="11" spans="1:12" ht="16.5">
      <c r="A11" s="1"/>
      <c r="B11" s="1"/>
      <c r="C11" s="1"/>
      <c r="I11" s="3" t="s">
        <v>9</v>
      </c>
      <c r="J11" s="4" t="s">
        <v>10</v>
      </c>
      <c r="K11" s="4" t="s">
        <v>11</v>
      </c>
      <c r="L11" s="5" t="s">
        <v>12</v>
      </c>
    </row>
    <row r="12" spans="1:12" ht="16.5">
      <c r="A12" s="1"/>
      <c r="B12" s="1"/>
      <c r="C12" s="1"/>
      <c r="I12" s="6" t="s">
        <v>13</v>
      </c>
      <c r="J12" s="7">
        <v>10000</v>
      </c>
      <c r="K12" s="8">
        <v>3500</v>
      </c>
      <c r="L12" s="9" t="s">
        <v>14</v>
      </c>
    </row>
    <row r="13" spans="1:12" ht="16.5">
      <c r="A13" s="1"/>
      <c r="B13" s="1"/>
      <c r="C13" s="1"/>
      <c r="I13" s="10" t="s">
        <v>15</v>
      </c>
      <c r="J13" s="11">
        <v>10000</v>
      </c>
      <c r="K13" s="12">
        <v>28000</v>
      </c>
      <c r="L13" s="13" t="s">
        <v>16</v>
      </c>
    </row>
    <row r="14" spans="1:12" ht="16.5">
      <c r="A14" s="1"/>
      <c r="B14" s="1"/>
      <c r="C14" s="1"/>
      <c r="I14" s="33"/>
      <c r="J14" s="33"/>
      <c r="K14" s="33"/>
      <c r="L14" s="33"/>
    </row>
    <row r="15" spans="1:12" ht="16.5">
      <c r="A15" s="1"/>
      <c r="B15" s="1"/>
      <c r="C15" s="1"/>
      <c r="I15" s="3" t="s">
        <v>17</v>
      </c>
      <c r="J15" s="4" t="s">
        <v>18</v>
      </c>
      <c r="K15" s="4" t="s">
        <v>19</v>
      </c>
      <c r="L15" s="5" t="s">
        <v>20</v>
      </c>
    </row>
    <row r="16" spans="1:12" ht="16.5">
      <c r="A16" s="1"/>
      <c r="B16" s="1"/>
      <c r="C16" s="1"/>
      <c r="I16" s="6" t="s">
        <v>21</v>
      </c>
      <c r="J16" s="14">
        <v>0.1</v>
      </c>
      <c r="K16" s="8">
        <f>K12*(1-J16) + K13*J16</f>
        <v>5950</v>
      </c>
      <c r="L16" s="15">
        <f>K16*$J$12</f>
        <v>59500000</v>
      </c>
    </row>
    <row r="17" spans="1:12" ht="16.5">
      <c r="A17" s="1"/>
      <c r="B17" s="38" t="s">
        <v>22</v>
      </c>
      <c r="C17" s="1"/>
      <c r="I17" s="6" t="s">
        <v>23</v>
      </c>
      <c r="J17" s="14">
        <v>0.25</v>
      </c>
      <c r="K17" s="8">
        <f>K12*(1-J17) + K13*J17</f>
        <v>9625</v>
      </c>
      <c r="L17" s="15">
        <f>K17*$J$12</f>
        <v>96250000</v>
      </c>
    </row>
    <row r="18" spans="1:12" ht="16.5">
      <c r="A18" s="1"/>
      <c r="B18" s="39"/>
      <c r="C18" s="1"/>
      <c r="I18" s="10" t="s">
        <v>2</v>
      </c>
      <c r="J18" s="16">
        <v>0.5</v>
      </c>
      <c r="K18" s="12">
        <f>K12*(1-J18) + K13*J18</f>
        <v>15750</v>
      </c>
      <c r="L18" s="17">
        <f>K18*$J$12</f>
        <v>157500000</v>
      </c>
    </row>
    <row r="19" spans="1:12" ht="16.5">
      <c r="A19" s="1"/>
      <c r="B19" s="40"/>
      <c r="C19" s="1"/>
      <c r="I19" s="33"/>
      <c r="J19" s="33"/>
      <c r="K19" s="33"/>
      <c r="L19" s="33"/>
    </row>
    <row r="20" spans="1:12" ht="16.5">
      <c r="A20" s="1"/>
      <c r="B20" s="1"/>
      <c r="C20" s="1"/>
      <c r="I20" s="3" t="s">
        <v>24</v>
      </c>
      <c r="J20" s="4" t="s">
        <v>6</v>
      </c>
      <c r="K20" s="4" t="s">
        <v>7</v>
      </c>
      <c r="L20" s="5" t="s">
        <v>8</v>
      </c>
    </row>
    <row r="21" spans="1:12" ht="16.5">
      <c r="A21" s="1"/>
      <c r="B21" s="41" t="s">
        <v>25</v>
      </c>
      <c r="C21" s="1"/>
      <c r="I21" s="18">
        <f>J6</f>
        <v>35000000</v>
      </c>
      <c r="J21" s="19">
        <f>J7</f>
        <v>157500000</v>
      </c>
      <c r="K21" s="19">
        <f>J8</f>
        <v>122500000</v>
      </c>
      <c r="L21" s="35">
        <f>J9</f>
        <v>3.5</v>
      </c>
    </row>
    <row r="22" spans="1:12" ht="16.5">
      <c r="A22" s="1"/>
      <c r="B22" s="42"/>
      <c r="C22" s="1"/>
      <c r="I22" s="33"/>
      <c r="J22" s="34"/>
      <c r="K22" s="33"/>
      <c r="L22" s="33"/>
    </row>
    <row r="23" spans="1:12" ht="16.5">
      <c r="A23" s="1"/>
      <c r="B23" s="43"/>
      <c r="C23" s="1"/>
      <c r="E23" s="3" t="s">
        <v>26</v>
      </c>
      <c r="F23" s="5" t="s">
        <v>27</v>
      </c>
    </row>
    <row r="24" spans="1:12" ht="16.5">
      <c r="A24" s="1"/>
      <c r="B24" s="1"/>
      <c r="C24" s="1"/>
      <c r="E24" s="6" t="s">
        <v>28</v>
      </c>
      <c r="F24" s="15">
        <f>AVERAGE(K16:K18) * J12</f>
        <v>104416666.66666666</v>
      </c>
    </row>
    <row r="25" spans="1:12" ht="16.5">
      <c r="A25" s="1"/>
      <c r="B25" s="41" t="s">
        <v>29</v>
      </c>
      <c r="C25" s="1"/>
      <c r="E25" s="6" t="s">
        <v>30</v>
      </c>
      <c r="F25" s="15">
        <f>MAX(K16:K18) * J12</f>
        <v>157500000</v>
      </c>
    </row>
    <row r="26" spans="1:12" ht="16.5">
      <c r="A26" s="1"/>
      <c r="B26" s="42"/>
      <c r="C26" s="1"/>
      <c r="E26" s="10" t="s">
        <v>31</v>
      </c>
      <c r="F26" s="21">
        <f>(F25 - J6) / J6</f>
        <v>3.5</v>
      </c>
    </row>
    <row r="27" spans="1:12">
      <c r="A27" s="1"/>
      <c r="B27" s="43"/>
      <c r="C27" s="1"/>
    </row>
    <row r="28" spans="1:12">
      <c r="A28" s="1"/>
      <c r="B28" s="1"/>
      <c r="C28" s="1"/>
    </row>
  </sheetData>
  <mergeCells count="4">
    <mergeCell ref="E1:L1"/>
    <mergeCell ref="B17:B19"/>
    <mergeCell ref="B21:B23"/>
    <mergeCell ref="B25:B27"/>
  </mergeCells>
  <dataValidations count="1">
    <dataValidation type="list" allowBlank="1" showInputMessage="1" showErrorMessage="1" sqref="F3" xr:uid="{E0BF605D-F61F-4788-ACF1-CBD21E6B4075}">
      <formula1>"Conservador,Moderado,Agressivo"</formula1>
    </dataValidation>
  </dataValidations>
  <hyperlinks>
    <hyperlink ref="B25:B27" location="'Complexo_Soja'!D1" display="SOJA" xr:uid="{235D70ED-75BF-4CCB-A5C4-3910BE3F48CF}"/>
    <hyperlink ref="B21:B23" location="'Siderurgia_Aco'!D1" display="SIDERURGIA" xr:uid="{55A2F3CC-824B-4E21-9FD5-4DFCF7BF3518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1F8D-6F63-4279-9E5E-328CF8F7F7A2}">
  <dimension ref="A1:L28"/>
  <sheetViews>
    <sheetView showGridLines="0" showRowColHeaders="0" workbookViewId="0">
      <selection activeCell="O26" sqref="O26"/>
    </sheetView>
  </sheetViews>
  <sheetFormatPr defaultRowHeight="15"/>
  <cols>
    <col min="1" max="1" width="3.5703125" customWidth="1"/>
    <col min="2" max="2" width="24.28515625" customWidth="1"/>
    <col min="3" max="3" width="4.140625" customWidth="1"/>
    <col min="4" max="4" width="2.5703125" customWidth="1"/>
    <col min="5" max="5" width="28" customWidth="1"/>
    <col min="6" max="6" width="17.28515625" customWidth="1"/>
    <col min="7" max="7" width="29.28515625" customWidth="1"/>
    <col min="8" max="8" width="2.28515625" customWidth="1"/>
    <col min="9" max="9" width="32.42578125" customWidth="1"/>
    <col min="10" max="10" width="17.7109375" customWidth="1"/>
    <col min="11" max="11" width="19.7109375" customWidth="1"/>
    <col min="12" max="12" width="25.140625" customWidth="1"/>
    <col min="13" max="13" width="9.140625" customWidth="1"/>
  </cols>
  <sheetData>
    <row r="1" spans="1:12" ht="30.75">
      <c r="A1" s="1"/>
      <c r="B1" s="1"/>
      <c r="C1" s="1"/>
      <c r="E1" s="37" t="s">
        <v>32</v>
      </c>
      <c r="F1" s="37"/>
      <c r="G1" s="37"/>
      <c r="H1" s="37"/>
      <c r="I1" s="37"/>
      <c r="J1" s="37"/>
      <c r="K1" s="37"/>
      <c r="L1" s="37"/>
    </row>
    <row r="2" spans="1:12">
      <c r="A2" s="1"/>
      <c r="B2" s="1"/>
      <c r="C2" s="1"/>
    </row>
    <row r="3" spans="1:12" ht="16.5">
      <c r="A3" s="1"/>
      <c r="B3" s="1"/>
      <c r="C3" s="1"/>
      <c r="E3" s="30" t="s">
        <v>1</v>
      </c>
      <c r="F3" s="31" t="s">
        <v>23</v>
      </c>
      <c r="G3" s="32" t="str">
        <f>"Taxa de Processamento a " &amp; TEXT(IF(F3="Conservador", 0.1, IF(F3="Moderado", 0.25, IF(F3="Agressivo", 0.5, 0))), "0%")</f>
        <v>Taxa de Processamento a 25%</v>
      </c>
    </row>
    <row r="4" spans="1:12">
      <c r="A4" s="1"/>
      <c r="B4" s="2"/>
      <c r="C4" s="1"/>
    </row>
    <row r="5" spans="1:12" ht="16.5">
      <c r="A5" s="1"/>
      <c r="B5" s="1"/>
      <c r="C5" s="1"/>
      <c r="E5" t="str">
        <f>"Margem Capturada (" &amp; F3 &amp; "): " &amp; TEXT(L21, "+0,0%")</f>
        <v>Margem Capturada (Moderado): +145,5%</v>
      </c>
      <c r="I5" s="22" t="s">
        <v>3</v>
      </c>
      <c r="J5" s="23" t="s">
        <v>4</v>
      </c>
      <c r="K5" s="33"/>
      <c r="L5" s="33"/>
    </row>
    <row r="6" spans="1:12" ht="16.5">
      <c r="A6" s="1"/>
      <c r="B6" s="1"/>
      <c r="C6" s="1"/>
      <c r="I6" s="24" t="s">
        <v>5</v>
      </c>
      <c r="J6" s="15">
        <f>J12 * K12</f>
        <v>110000000</v>
      </c>
      <c r="K6" s="33"/>
      <c r="L6" s="33"/>
    </row>
    <row r="7" spans="1:12" ht="16.5">
      <c r="A7" s="1"/>
      <c r="B7" s="1"/>
      <c r="C7" s="1"/>
      <c r="I7" s="25" t="s">
        <v>6</v>
      </c>
      <c r="J7" s="26">
        <f>VLOOKUP(F3, I16:L18, 4, FALSE)</f>
        <v>270000000</v>
      </c>
      <c r="K7" s="33"/>
      <c r="L7" s="33"/>
    </row>
    <row r="8" spans="1:12" ht="16.5">
      <c r="A8" s="1"/>
      <c r="B8" s="1"/>
      <c r="C8" s="1"/>
      <c r="I8" s="27" t="s">
        <v>7</v>
      </c>
      <c r="J8" s="28">
        <f>J7 - J6</f>
        <v>160000000</v>
      </c>
      <c r="K8" s="33"/>
      <c r="L8" s="33"/>
    </row>
    <row r="9" spans="1:12" ht="16.5">
      <c r="A9" s="1"/>
      <c r="B9" s="1"/>
      <c r="C9" s="1"/>
      <c r="I9" s="29" t="s">
        <v>8</v>
      </c>
      <c r="J9" s="20">
        <f>J8 / J6</f>
        <v>1.4545454545454546</v>
      </c>
      <c r="K9" s="33"/>
      <c r="L9" s="33"/>
    </row>
    <row r="10" spans="1:12" ht="15" customHeight="1">
      <c r="A10" s="1"/>
      <c r="B10" s="1"/>
      <c r="C10" s="1"/>
      <c r="I10" s="33"/>
      <c r="J10" s="33"/>
      <c r="K10" s="33"/>
      <c r="L10" s="33"/>
    </row>
    <row r="11" spans="1:12" ht="16.5">
      <c r="A11" s="1"/>
      <c r="B11" s="1"/>
      <c r="C11" s="1"/>
      <c r="I11" s="3" t="s">
        <v>9</v>
      </c>
      <c r="J11" s="4" t="s">
        <v>10</v>
      </c>
      <c r="K11" s="4" t="s">
        <v>11</v>
      </c>
      <c r="L11" s="5" t="s">
        <v>12</v>
      </c>
    </row>
    <row r="12" spans="1:12" ht="16.5">
      <c r="A12" s="1"/>
      <c r="B12" s="1"/>
      <c r="C12" s="1"/>
      <c r="I12" s="6" t="s">
        <v>33</v>
      </c>
      <c r="J12" s="7">
        <v>1000000</v>
      </c>
      <c r="K12" s="8">
        <v>110</v>
      </c>
      <c r="L12" s="9" t="s">
        <v>34</v>
      </c>
    </row>
    <row r="13" spans="1:12" ht="16.5">
      <c r="A13" s="1"/>
      <c r="B13" s="1"/>
      <c r="C13" s="1"/>
      <c r="I13" s="10" t="s">
        <v>35</v>
      </c>
      <c r="J13" s="11">
        <v>1000000</v>
      </c>
      <c r="K13" s="12">
        <v>750</v>
      </c>
      <c r="L13" s="13" t="s">
        <v>36</v>
      </c>
    </row>
    <row r="14" spans="1:12" ht="16.5">
      <c r="A14" s="1"/>
      <c r="B14" s="1"/>
      <c r="C14" s="1"/>
      <c r="I14" s="33"/>
      <c r="J14" s="33"/>
      <c r="K14" s="33"/>
      <c r="L14" s="33"/>
    </row>
    <row r="15" spans="1:12" ht="16.5">
      <c r="A15" s="1"/>
      <c r="B15" s="1"/>
      <c r="C15" s="1"/>
      <c r="I15" s="3" t="s">
        <v>17</v>
      </c>
      <c r="J15" s="4" t="s">
        <v>18</v>
      </c>
      <c r="K15" s="4" t="s">
        <v>19</v>
      </c>
      <c r="L15" s="5" t="s">
        <v>20</v>
      </c>
    </row>
    <row r="16" spans="1:12" ht="16.5">
      <c r="A16" s="1"/>
      <c r="B16" s="1"/>
      <c r="C16" s="1"/>
      <c r="I16" s="6" t="s">
        <v>21</v>
      </c>
      <c r="J16" s="14">
        <v>0.1</v>
      </c>
      <c r="K16" s="8">
        <f>K12*(1-J16) + K13*J16</f>
        <v>174</v>
      </c>
      <c r="L16" s="15">
        <f>K16*$J$12</f>
        <v>174000000</v>
      </c>
    </row>
    <row r="17" spans="1:12" ht="16.5">
      <c r="A17" s="1"/>
      <c r="B17" s="41" t="s">
        <v>22</v>
      </c>
      <c r="C17" s="1"/>
      <c r="I17" s="6" t="s">
        <v>23</v>
      </c>
      <c r="J17" s="14">
        <v>0.25</v>
      </c>
      <c r="K17" s="8">
        <f>K12*(1-J17) + K13*J17</f>
        <v>270</v>
      </c>
      <c r="L17" s="15">
        <f>K17*$J$12</f>
        <v>270000000</v>
      </c>
    </row>
    <row r="18" spans="1:12" ht="16.5">
      <c r="A18" s="1"/>
      <c r="B18" s="42"/>
      <c r="C18" s="1"/>
      <c r="I18" s="10" t="s">
        <v>2</v>
      </c>
      <c r="J18" s="16">
        <v>0.5</v>
      </c>
      <c r="K18" s="12">
        <f>K12*(1-J18) + K13*J18</f>
        <v>430</v>
      </c>
      <c r="L18" s="17">
        <f>K18*$J$12</f>
        <v>430000000</v>
      </c>
    </row>
    <row r="19" spans="1:12" ht="16.5">
      <c r="A19" s="1"/>
      <c r="B19" s="43"/>
      <c r="C19" s="1"/>
      <c r="I19" s="33"/>
      <c r="J19" s="33"/>
      <c r="K19" s="33"/>
      <c r="L19" s="33"/>
    </row>
    <row r="20" spans="1:12" ht="16.5">
      <c r="A20" s="1"/>
      <c r="B20" s="1"/>
      <c r="C20" s="1"/>
      <c r="I20" s="3" t="s">
        <v>24</v>
      </c>
      <c r="J20" s="4" t="s">
        <v>6</v>
      </c>
      <c r="K20" s="4" t="s">
        <v>7</v>
      </c>
      <c r="L20" s="5" t="s">
        <v>8</v>
      </c>
    </row>
    <row r="21" spans="1:12" ht="16.5">
      <c r="A21" s="1"/>
      <c r="B21" s="38" t="s">
        <v>25</v>
      </c>
      <c r="C21" s="1"/>
      <c r="I21" s="18">
        <f>J6</f>
        <v>110000000</v>
      </c>
      <c r="J21" s="19">
        <f>J7</f>
        <v>270000000</v>
      </c>
      <c r="K21" s="19">
        <f>J8</f>
        <v>160000000</v>
      </c>
      <c r="L21" s="36">
        <f>J9</f>
        <v>1.4545454545454546</v>
      </c>
    </row>
    <row r="22" spans="1:12" ht="16.5">
      <c r="A22" s="1"/>
      <c r="B22" s="39"/>
      <c r="C22" s="1"/>
      <c r="I22" s="33"/>
      <c r="J22" s="33"/>
      <c r="K22" s="33"/>
      <c r="L22" s="33"/>
    </row>
    <row r="23" spans="1:12" ht="16.5">
      <c r="A23" s="1"/>
      <c r="B23" s="40"/>
      <c r="C23" s="1"/>
      <c r="E23" s="3" t="s">
        <v>26</v>
      </c>
      <c r="F23" s="5" t="s">
        <v>27</v>
      </c>
    </row>
    <row r="24" spans="1:12" ht="16.5">
      <c r="A24" s="1"/>
      <c r="B24" s="1"/>
      <c r="C24" s="1"/>
      <c r="E24" s="6" t="s">
        <v>28</v>
      </c>
      <c r="F24" s="15">
        <f>AVERAGE(L16:L18)</f>
        <v>291333333.33333331</v>
      </c>
    </row>
    <row r="25" spans="1:12" ht="16.5">
      <c r="A25" s="1"/>
      <c r="B25" s="41" t="s">
        <v>29</v>
      </c>
      <c r="C25" s="1"/>
      <c r="E25" s="6" t="s">
        <v>30</v>
      </c>
      <c r="F25" s="15">
        <f>MAX(L16:L18)</f>
        <v>430000000</v>
      </c>
    </row>
    <row r="26" spans="1:12" ht="16.5">
      <c r="A26" s="1"/>
      <c r="B26" s="42"/>
      <c r="C26" s="1"/>
      <c r="E26" s="10" t="s">
        <v>31</v>
      </c>
      <c r="F26" s="21">
        <f>(F25 - J6) / J6</f>
        <v>2.9090909090909092</v>
      </c>
    </row>
    <row r="27" spans="1:12">
      <c r="A27" s="1"/>
      <c r="B27" s="43"/>
      <c r="C27" s="1"/>
    </row>
    <row r="28" spans="1:12">
      <c r="A28" s="1"/>
      <c r="B28" s="1"/>
      <c r="C28" s="1"/>
    </row>
  </sheetData>
  <mergeCells count="4">
    <mergeCell ref="E1:L1"/>
    <mergeCell ref="B17:B19"/>
    <mergeCell ref="B21:B23"/>
    <mergeCell ref="B25:B27"/>
  </mergeCells>
  <dataValidations count="1">
    <dataValidation type="list" allowBlank="1" showInputMessage="1" showErrorMessage="1" sqref="F3" xr:uid="{EA24EB9D-1DAE-49D9-81E9-84CF8B4EC210}">
      <formula1>"Conservador,Moderado,Agressivo"</formula1>
    </dataValidation>
  </dataValidations>
  <hyperlinks>
    <hyperlink ref="B25:B27" location="'Complexo_Soja'!D1" display="SOJA" xr:uid="{96E780E9-2EA2-4D22-A5A3-AB2B092AD969}"/>
    <hyperlink ref="B17:B19" location="'Terras_Raras'!D1" display="TERRAS RARAS" xr:uid="{B0E63C6B-AAEB-4800-A1C5-72CD31E6D162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E444-E5D6-45DD-8E56-D5301D158232}">
  <dimension ref="A1:L28"/>
  <sheetViews>
    <sheetView showGridLines="0" showRowColHeaders="0" tabSelected="1" workbookViewId="0">
      <selection activeCell="P21" sqref="P21"/>
    </sheetView>
  </sheetViews>
  <sheetFormatPr defaultRowHeight="15"/>
  <cols>
    <col min="1" max="1" width="3.5703125" customWidth="1"/>
    <col min="2" max="2" width="24.28515625" customWidth="1"/>
    <col min="3" max="3" width="4.140625" customWidth="1"/>
    <col min="4" max="4" width="2.5703125" customWidth="1"/>
    <col min="5" max="5" width="28" customWidth="1"/>
    <col min="6" max="6" width="17.28515625" customWidth="1"/>
    <col min="7" max="7" width="29.28515625" customWidth="1"/>
    <col min="8" max="8" width="2.28515625" customWidth="1"/>
    <col min="9" max="9" width="32.42578125" customWidth="1"/>
    <col min="10" max="10" width="17.7109375" customWidth="1"/>
    <col min="11" max="11" width="19.7109375" customWidth="1"/>
    <col min="12" max="12" width="25.140625" customWidth="1"/>
    <col min="13" max="13" width="9.140625" customWidth="1"/>
  </cols>
  <sheetData>
    <row r="1" spans="1:12" ht="30.75">
      <c r="A1" s="1"/>
      <c r="B1" s="1"/>
      <c r="C1" s="1"/>
      <c r="E1" s="37" t="s">
        <v>37</v>
      </c>
      <c r="F1" s="37"/>
      <c r="G1" s="37"/>
      <c r="H1" s="37"/>
      <c r="I1" s="37"/>
      <c r="J1" s="37"/>
      <c r="K1" s="37"/>
      <c r="L1" s="37"/>
    </row>
    <row r="2" spans="1:12">
      <c r="A2" s="1"/>
      <c r="B2" s="1"/>
      <c r="C2" s="1"/>
    </row>
    <row r="3" spans="1:12" ht="16.5">
      <c r="A3" s="1"/>
      <c r="B3" s="1"/>
      <c r="C3" s="1"/>
      <c r="E3" s="30" t="s">
        <v>1</v>
      </c>
      <c r="F3" s="31" t="s">
        <v>2</v>
      </c>
      <c r="G3" s="32" t="str">
        <f>"Taxa de Processamento a " &amp; TEXT(IF(F3="Conservador", 0.1, IF(F3="Moderado", 0.25, IF(F3="Agressivo", 0.5, 0))), "0%")</f>
        <v>Taxa de Processamento a 50%</v>
      </c>
    </row>
    <row r="4" spans="1:12">
      <c r="A4" s="1"/>
      <c r="B4" s="2"/>
      <c r="C4" s="1"/>
    </row>
    <row r="5" spans="1:12" ht="16.5">
      <c r="A5" s="1"/>
      <c r="B5" s="1"/>
      <c r="C5" s="1"/>
      <c r="E5" t="str">
        <f>"Margem Capturada (" &amp; F3 &amp; "): " &amp; TEXT(L21, "+0,0%")</f>
        <v>Margem Capturada (Agressivo): +42,9%</v>
      </c>
      <c r="I5" s="22" t="s">
        <v>3</v>
      </c>
      <c r="J5" s="23" t="s">
        <v>4</v>
      </c>
    </row>
    <row r="6" spans="1:12" ht="16.5">
      <c r="A6" s="1"/>
      <c r="B6" s="1"/>
      <c r="C6" s="1"/>
      <c r="I6" s="24" t="s">
        <v>5</v>
      </c>
      <c r="J6" s="15">
        <f>J12 * K12</f>
        <v>210000000</v>
      </c>
    </row>
    <row r="7" spans="1:12" ht="16.5">
      <c r="A7" s="1"/>
      <c r="B7" s="1"/>
      <c r="C7" s="1"/>
      <c r="I7" s="25" t="s">
        <v>6</v>
      </c>
      <c r="J7" s="26">
        <f>VLOOKUP(F3, I16:L18, 4, FALSE)</f>
        <v>300000000</v>
      </c>
    </row>
    <row r="8" spans="1:12" ht="16.5">
      <c r="A8" s="1"/>
      <c r="B8" s="1"/>
      <c r="C8" s="1"/>
      <c r="I8" s="27" t="s">
        <v>7</v>
      </c>
      <c r="J8" s="28">
        <f>J7 - J6</f>
        <v>90000000</v>
      </c>
    </row>
    <row r="9" spans="1:12" ht="16.5">
      <c r="A9" s="1"/>
      <c r="B9" s="1"/>
      <c r="C9" s="1"/>
      <c r="I9" s="29" t="s">
        <v>8</v>
      </c>
      <c r="J9" s="20">
        <f>J8 / J6</f>
        <v>0.42857142857142855</v>
      </c>
    </row>
    <row r="10" spans="1:12">
      <c r="A10" s="1"/>
      <c r="B10" s="1"/>
      <c r="C10" s="1"/>
    </row>
    <row r="11" spans="1:12" ht="16.5">
      <c r="A11" s="1"/>
      <c r="B11" s="1"/>
      <c r="C11" s="1"/>
      <c r="I11" s="3" t="s">
        <v>9</v>
      </c>
      <c r="J11" s="4" t="s">
        <v>10</v>
      </c>
      <c r="K11" s="4" t="s">
        <v>11</v>
      </c>
      <c r="L11" s="5" t="s">
        <v>12</v>
      </c>
    </row>
    <row r="12" spans="1:12" ht="16.5">
      <c r="A12" s="1"/>
      <c r="B12" s="1"/>
      <c r="C12" s="1"/>
      <c r="I12" s="6" t="s">
        <v>38</v>
      </c>
      <c r="J12" s="7">
        <v>500000</v>
      </c>
      <c r="K12" s="8">
        <v>420</v>
      </c>
      <c r="L12" s="9" t="s">
        <v>39</v>
      </c>
    </row>
    <row r="13" spans="1:12" ht="16.5">
      <c r="A13" s="1"/>
      <c r="B13" s="1"/>
      <c r="C13" s="1"/>
      <c r="I13" s="10" t="s">
        <v>40</v>
      </c>
      <c r="J13" s="11">
        <v>500000</v>
      </c>
      <c r="K13" s="12">
        <v>780</v>
      </c>
      <c r="L13" s="13" t="s">
        <v>41</v>
      </c>
    </row>
    <row r="14" spans="1:12" ht="16.5" customHeight="1">
      <c r="A14" s="1"/>
      <c r="B14" s="1"/>
      <c r="C14" s="1"/>
    </row>
    <row r="15" spans="1:12" ht="16.5">
      <c r="A15" s="1"/>
      <c r="B15" s="1"/>
      <c r="C15" s="1"/>
      <c r="I15" s="3" t="s">
        <v>17</v>
      </c>
      <c r="J15" s="4" t="s">
        <v>18</v>
      </c>
      <c r="K15" s="4" t="s">
        <v>19</v>
      </c>
      <c r="L15" s="5" t="s">
        <v>20</v>
      </c>
    </row>
    <row r="16" spans="1:12" ht="16.5">
      <c r="A16" s="1"/>
      <c r="B16" s="1"/>
      <c r="C16" s="1"/>
      <c r="I16" s="6" t="s">
        <v>21</v>
      </c>
      <c r="J16" s="14">
        <v>0.1</v>
      </c>
      <c r="K16" s="8">
        <f>K12*(1-J16) + K13*J16</f>
        <v>456</v>
      </c>
      <c r="L16" s="15">
        <f>K16*$J$12</f>
        <v>228000000</v>
      </c>
    </row>
    <row r="17" spans="1:12" ht="16.5">
      <c r="A17" s="1"/>
      <c r="B17" s="41" t="s">
        <v>22</v>
      </c>
      <c r="C17" s="1"/>
      <c r="I17" s="6" t="s">
        <v>23</v>
      </c>
      <c r="J17" s="14">
        <v>0.25</v>
      </c>
      <c r="K17" s="8">
        <f>K12*(1-J17) + K13*J17</f>
        <v>510</v>
      </c>
      <c r="L17" s="15">
        <f>K17*$J$12</f>
        <v>255000000</v>
      </c>
    </row>
    <row r="18" spans="1:12" ht="16.5">
      <c r="A18" s="1"/>
      <c r="B18" s="42"/>
      <c r="C18" s="1"/>
      <c r="I18" s="10" t="s">
        <v>2</v>
      </c>
      <c r="J18" s="16">
        <v>0.5</v>
      </c>
      <c r="K18" s="12">
        <f>K12*(1-J18) + K13*J18</f>
        <v>600</v>
      </c>
      <c r="L18" s="17">
        <f>K18*$J$12</f>
        <v>300000000</v>
      </c>
    </row>
    <row r="19" spans="1:12" ht="16.5" customHeight="1">
      <c r="A19" s="1"/>
      <c r="B19" s="43"/>
      <c r="C19" s="1"/>
    </row>
    <row r="20" spans="1:12" ht="16.5">
      <c r="A20" s="1"/>
      <c r="B20" s="1"/>
      <c r="C20" s="1"/>
      <c r="I20" s="3" t="s">
        <v>24</v>
      </c>
      <c r="J20" s="4" t="s">
        <v>6</v>
      </c>
      <c r="K20" s="4" t="s">
        <v>7</v>
      </c>
      <c r="L20" s="5" t="s">
        <v>8</v>
      </c>
    </row>
    <row r="21" spans="1:12" ht="16.5">
      <c r="A21" s="1"/>
      <c r="B21" s="41" t="s">
        <v>25</v>
      </c>
      <c r="C21" s="1"/>
      <c r="I21" s="18">
        <f>J6</f>
        <v>210000000</v>
      </c>
      <c r="J21" s="19">
        <f>J7</f>
        <v>300000000</v>
      </c>
      <c r="K21" s="19">
        <f>J8</f>
        <v>90000000</v>
      </c>
      <c r="L21" s="36">
        <f>J9</f>
        <v>0.42857142857142855</v>
      </c>
    </row>
    <row r="22" spans="1:12" ht="16.5" customHeight="1">
      <c r="A22" s="1"/>
      <c r="B22" s="42"/>
      <c r="C22" s="1"/>
    </row>
    <row r="23" spans="1:12" ht="16.5">
      <c r="A23" s="1"/>
      <c r="B23" s="43"/>
      <c r="C23" s="1"/>
      <c r="E23" s="3" t="s">
        <v>26</v>
      </c>
      <c r="F23" s="5" t="s">
        <v>27</v>
      </c>
    </row>
    <row r="24" spans="1:12" ht="16.5">
      <c r="A24" s="1"/>
      <c r="B24" s="1"/>
      <c r="C24" s="1"/>
      <c r="E24" s="6" t="s">
        <v>28</v>
      </c>
      <c r="F24" s="15">
        <f>AVERAGE(L16:L18)</f>
        <v>261000000</v>
      </c>
    </row>
    <row r="25" spans="1:12" ht="16.5">
      <c r="A25" s="1"/>
      <c r="B25" s="38" t="s">
        <v>29</v>
      </c>
      <c r="C25" s="1"/>
      <c r="E25" s="6" t="s">
        <v>30</v>
      </c>
      <c r="F25" s="15">
        <f>MAX(L16:L18)</f>
        <v>300000000</v>
      </c>
    </row>
    <row r="26" spans="1:12" ht="16.5">
      <c r="A26" s="1"/>
      <c r="B26" s="39"/>
      <c r="C26" s="1"/>
      <c r="E26" s="10" t="s">
        <v>31</v>
      </c>
      <c r="F26" s="21">
        <f>(F25 - J6) / J6</f>
        <v>0.42857142857142855</v>
      </c>
    </row>
    <row r="27" spans="1:12">
      <c r="A27" s="1"/>
      <c r="B27" s="40"/>
      <c r="C27" s="1"/>
    </row>
    <row r="28" spans="1:12">
      <c r="A28" s="1"/>
      <c r="B28" s="1"/>
      <c r="C28" s="1"/>
    </row>
  </sheetData>
  <mergeCells count="4">
    <mergeCell ref="E1:L1"/>
    <mergeCell ref="B17:B19"/>
    <mergeCell ref="B21:B23"/>
    <mergeCell ref="B25:B27"/>
  </mergeCells>
  <dataValidations count="1">
    <dataValidation type="list" allowBlank="1" showInputMessage="1" showErrorMessage="1" sqref="F3" xr:uid="{671FC510-5BC7-4AE0-AD1A-E53F0346B028}">
      <formula1>"Conservador,Moderado,Agressivo"</formula1>
    </dataValidation>
  </dataValidations>
  <hyperlinks>
    <hyperlink ref="B21:B23" location="'Siderurgia_Aco'!D1" display="SIDERURGIA" xr:uid="{B8EB23BC-4029-4BD3-9FC5-250EE775ED6A}"/>
    <hyperlink ref="B17:B19" location="'Terras_Raras'!D1" display="TERRAS RARAS" xr:uid="{DF9B5242-79CD-4CDA-BF2A-E37297D7FC4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2026-09-29T21:38:45Z</dcterms:created>
  <dcterms:modified xsi:type="dcterms:W3CDTF">2026-10-05T22:03:33Z</dcterms:modified>
  <cp:category/>
  <cp:contentStatus/>
</cp:coreProperties>
</file>